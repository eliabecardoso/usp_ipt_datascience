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inked\OneDrive\Ex-Dropbox\Palestra-IIBA\"/>
    </mc:Choice>
  </mc:AlternateContent>
  <xr:revisionPtr revIDLastSave="2" documentId="13_ncr:1_{EF1BEB0E-18EB-43A8-9F79-FAFC5572554A}" xr6:coauthVersionLast="43" xr6:coauthVersionMax="43" xr10:uidLastSave="{EAD456EC-3AD8-4BE9-98B0-1C9B191988C2}"/>
  <bookViews>
    <workbookView xWindow="-120" yWindow="-120" windowWidth="20730" windowHeight="11160" xr2:uid="{59EB3C9B-557C-40D6-B97D-62439E2A3E82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2" i="1" l="1"/>
  <c r="K22" i="1" s="1"/>
  <c r="M14" i="1"/>
  <c r="N14" i="1" s="1"/>
  <c r="M13" i="1"/>
  <c r="N13" i="1" s="1"/>
  <c r="M12" i="1"/>
  <c r="N12" i="1" s="1"/>
  <c r="G14" i="1"/>
  <c r="H14" i="1" s="1"/>
  <c r="G13" i="1"/>
  <c r="H13" i="1" s="1"/>
  <c r="G12" i="1"/>
  <c r="H12" i="1" s="1"/>
  <c r="H15" i="1" l="1"/>
  <c r="N15" i="1"/>
  <c r="N16" i="1"/>
  <c r="H16" i="1"/>
  <c r="J24" i="1" l="1"/>
  <c r="K24" i="1" s="1"/>
  <c r="J23" i="1"/>
  <c r="K23" i="1" s="1"/>
  <c r="K25" i="1" l="1"/>
  <c r="K26" i="1" s="1"/>
</calcChain>
</file>

<file path=xl/sharedStrings.xml><?xml version="1.0" encoding="utf-8"?>
<sst xmlns="http://schemas.openxmlformats.org/spreadsheetml/2006/main" count="31" uniqueCount="18">
  <si>
    <t>Bias</t>
  </si>
  <si>
    <t>soma</t>
  </si>
  <si>
    <t>output</t>
  </si>
  <si>
    <t>Input Layer</t>
  </si>
  <si>
    <t>Hidden Layer</t>
  </si>
  <si>
    <t>Output Layer</t>
  </si>
  <si>
    <t>P1</t>
  </si>
  <si>
    <t>P2</t>
  </si>
  <si>
    <t>P3</t>
  </si>
  <si>
    <t>R$x1000</t>
  </si>
  <si>
    <t>Prod</t>
  </si>
  <si>
    <t>w1</t>
  </si>
  <si>
    <t>w2</t>
  </si>
  <si>
    <t>w0</t>
  </si>
  <si>
    <t>Ano 20</t>
  </si>
  <si>
    <t>Km</t>
  </si>
  <si>
    <t>x1000</t>
  </si>
  <si>
    <t>Preço Corolla GLi Automático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</si>
</sst>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1" fillId="3" borderId="0" xfId="0" applyFont="1" applyFill="1"/>
    <xf numFmtId="0" fontId="0" fillId="5" borderId="0" xfId="0" applyFill="1"/>
    <xf numFmtId="0" fontId="1" fillId="5" borderId="0" xfId="0" applyFont="1" applyFill="1"/>
    <xf numFmtId="0" fontId="2" fillId="5" borderId="0" xfId="0" applyFont="1" applyFill="1"/>
    <xf numFmtId="0" fontId="0" fillId="5" borderId="0" xfId="0" applyFont="1" applyFill="1"/>
    <xf numFmtId="0" fontId="4" fillId="5" borderId="0" xfId="0" applyFont="1" applyFill="1"/>
    <xf numFmtId="2" fontId="4" fillId="5" borderId="0" xfId="0" applyNumberFormat="1" applyFont="1" applyFill="1"/>
    <xf numFmtId="0" fontId="4" fillId="4" borderId="0" xfId="0" applyFont="1" applyFill="1"/>
    <xf numFmtId="0" fontId="4" fillId="2" borderId="0" xfId="0" applyFont="1" applyFill="1"/>
    <xf numFmtId="0" fontId="5" fillId="5" borderId="0" xfId="0" applyFont="1" applyFill="1"/>
    <xf numFmtId="0" fontId="5" fillId="2" borderId="0" xfId="1" applyNumberFormat="1" applyFont="1" applyFill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6</xdr:row>
      <xdr:rowOff>19050</xdr:rowOff>
    </xdr:from>
    <xdr:to>
      <xdr:col>6</xdr:col>
      <xdr:colOff>504825</xdr:colOff>
      <xdr:row>11</xdr:row>
      <xdr:rowOff>47625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6F1CA0A2-A9DB-4543-BEF8-9AD28803E071}"/>
            </a:ext>
          </a:extLst>
        </xdr:cNvPr>
        <xdr:cNvCxnSpPr/>
      </xdr:nvCxnSpPr>
      <xdr:spPr>
        <a:xfrm>
          <a:off x="3095625" y="1162050"/>
          <a:ext cx="1066800" cy="10287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</xdr:row>
      <xdr:rowOff>28575</xdr:rowOff>
    </xdr:from>
    <xdr:to>
      <xdr:col>12</xdr:col>
      <xdr:colOff>476250</xdr:colOff>
      <xdr:row>11</xdr:row>
      <xdr:rowOff>95250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D7E61E47-1D26-4A5E-9D0D-F348BCA9C119}"/>
            </a:ext>
          </a:extLst>
        </xdr:cNvPr>
        <xdr:cNvCxnSpPr/>
      </xdr:nvCxnSpPr>
      <xdr:spPr>
        <a:xfrm>
          <a:off x="3143250" y="1171575"/>
          <a:ext cx="4695825" cy="106680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6</xdr:row>
      <xdr:rowOff>85725</xdr:rowOff>
    </xdr:from>
    <xdr:to>
      <xdr:col>7</xdr:col>
      <xdr:colOff>361950</xdr:colOff>
      <xdr:row>12</xdr:row>
      <xdr:rowOff>9525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D9820174-7229-4C8E-8CB0-ACF65A3D8972}"/>
            </a:ext>
          </a:extLst>
        </xdr:cNvPr>
        <xdr:cNvCxnSpPr/>
      </xdr:nvCxnSpPr>
      <xdr:spPr>
        <a:xfrm flipH="1">
          <a:off x="4343400" y="1228725"/>
          <a:ext cx="333375" cy="111442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</xdr:colOff>
      <xdr:row>6</xdr:row>
      <xdr:rowOff>38100</xdr:rowOff>
    </xdr:from>
    <xdr:to>
      <xdr:col>10</xdr:col>
      <xdr:colOff>409575</xdr:colOff>
      <xdr:row>13</xdr:row>
      <xdr:rowOff>76200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3E2D2D72-D670-49E5-828C-83509362C232}"/>
            </a:ext>
          </a:extLst>
        </xdr:cNvPr>
        <xdr:cNvCxnSpPr/>
      </xdr:nvCxnSpPr>
      <xdr:spPr>
        <a:xfrm flipH="1">
          <a:off x="4381500" y="1181100"/>
          <a:ext cx="2171700" cy="141922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523875</xdr:colOff>
      <xdr:row>6</xdr:row>
      <xdr:rowOff>38100</xdr:rowOff>
    </xdr:from>
    <xdr:to>
      <xdr:col>12</xdr:col>
      <xdr:colOff>390525</xdr:colOff>
      <xdr:row>12</xdr:row>
      <xdr:rowOff>95250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E4FA7BC7-72FD-449E-9FFD-4BD77B97D7B5}"/>
            </a:ext>
          </a:extLst>
        </xdr:cNvPr>
        <xdr:cNvCxnSpPr/>
      </xdr:nvCxnSpPr>
      <xdr:spPr>
        <a:xfrm>
          <a:off x="4838700" y="1181100"/>
          <a:ext cx="2914650" cy="124777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533400</xdr:colOff>
      <xdr:row>6</xdr:row>
      <xdr:rowOff>66675</xdr:rowOff>
    </xdr:from>
    <xdr:to>
      <xdr:col>12</xdr:col>
      <xdr:colOff>409575</xdr:colOff>
      <xdr:row>13</xdr:row>
      <xdr:rowOff>104775</xdr:rowOff>
    </xdr:to>
    <xdr:cxnSp macro="">
      <xdr:nvCxnSpPr>
        <xdr:cNvPr id="25" name="Conector de Seta Reta 24">
          <a:extLst>
            <a:ext uri="{FF2B5EF4-FFF2-40B4-BE49-F238E27FC236}">
              <a16:creationId xmlns:a16="http://schemas.microsoft.com/office/drawing/2014/main" id="{1321CD5F-8CEF-4FD1-9833-06C24632DC2D}"/>
            </a:ext>
          </a:extLst>
        </xdr:cNvPr>
        <xdr:cNvCxnSpPr/>
      </xdr:nvCxnSpPr>
      <xdr:spPr>
        <a:xfrm>
          <a:off x="6677025" y="1209675"/>
          <a:ext cx="1095375" cy="141922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85725</xdr:colOff>
      <xdr:row>15</xdr:row>
      <xdr:rowOff>161925</xdr:rowOff>
    </xdr:from>
    <xdr:to>
      <xdr:col>9</xdr:col>
      <xdr:colOff>466725</xdr:colOff>
      <xdr:row>21</xdr:row>
      <xdr:rowOff>85725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A0DED025-0453-4FD7-81FF-2D0948EFE064}"/>
            </a:ext>
          </a:extLst>
        </xdr:cNvPr>
        <xdr:cNvCxnSpPr/>
      </xdr:nvCxnSpPr>
      <xdr:spPr>
        <a:xfrm>
          <a:off x="3133725" y="3067050"/>
          <a:ext cx="2867025" cy="111442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16</xdr:row>
      <xdr:rowOff>19050</xdr:rowOff>
    </xdr:from>
    <xdr:to>
      <xdr:col>9</xdr:col>
      <xdr:colOff>190500</xdr:colOff>
      <xdr:row>22</xdr:row>
      <xdr:rowOff>28575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8D8DF3D4-75DC-4B58-AE99-090722341AAC}"/>
            </a:ext>
          </a:extLst>
        </xdr:cNvPr>
        <xdr:cNvCxnSpPr/>
      </xdr:nvCxnSpPr>
      <xdr:spPr>
        <a:xfrm>
          <a:off x="4686300" y="3114675"/>
          <a:ext cx="1038225" cy="120015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438150</xdr:colOff>
      <xdr:row>15</xdr:row>
      <xdr:rowOff>171450</xdr:rowOff>
    </xdr:from>
    <xdr:to>
      <xdr:col>13</xdr:col>
      <xdr:colOff>209550</xdr:colOff>
      <xdr:row>23</xdr:row>
      <xdr:rowOff>38100</xdr:rowOff>
    </xdr:to>
    <xdr:cxnSp macro="">
      <xdr:nvCxnSpPr>
        <xdr:cNvPr id="31" name="Conector de Seta Reta 30">
          <a:extLst>
            <a:ext uri="{FF2B5EF4-FFF2-40B4-BE49-F238E27FC236}">
              <a16:creationId xmlns:a16="http://schemas.microsoft.com/office/drawing/2014/main" id="{CA2E17A6-94F6-4FEB-BBB1-F67535A9EE4B}"/>
            </a:ext>
          </a:extLst>
        </xdr:cNvPr>
        <xdr:cNvCxnSpPr/>
      </xdr:nvCxnSpPr>
      <xdr:spPr>
        <a:xfrm flipH="1">
          <a:off x="5972175" y="3076575"/>
          <a:ext cx="2209800" cy="1438275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F281E-593B-4D3E-922E-27E77D596036}">
  <sheetPr codeName="Planilha1"/>
  <dimension ref="B3:S26"/>
  <sheetViews>
    <sheetView tabSelected="1" topLeftCell="A13" workbookViewId="0">
      <selection activeCell="K7" sqref="K7"/>
    </sheetView>
  </sheetViews>
  <sheetFormatPr defaultRowHeight="15" x14ac:dyDescent="0.25"/>
  <cols>
    <col min="7" max="7" width="9.85546875" customWidth="1"/>
  </cols>
  <sheetData>
    <row r="3" spans="2:19" x14ac:dyDescent="0.25">
      <c r="F3" s="19" t="s">
        <v>17</v>
      </c>
      <c r="G3" s="20"/>
      <c r="H3" s="20"/>
    </row>
    <row r="5" spans="2:19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2:19" ht="21" x14ac:dyDescent="0.35">
      <c r="B6" s="1"/>
      <c r="C6" s="1"/>
      <c r="D6" s="2" t="s">
        <v>0</v>
      </c>
      <c r="E6" s="1">
        <v>1</v>
      </c>
      <c r="F6" s="1"/>
      <c r="G6" s="13" t="s">
        <v>14</v>
      </c>
      <c r="H6" s="14">
        <v>16</v>
      </c>
      <c r="I6" s="1"/>
      <c r="J6" s="13" t="s">
        <v>15</v>
      </c>
      <c r="K6" s="14">
        <v>90</v>
      </c>
      <c r="L6" s="15" t="s">
        <v>16</v>
      </c>
      <c r="M6" s="1"/>
      <c r="N6" s="1"/>
      <c r="O6" s="1"/>
      <c r="P6" s="16" t="s">
        <v>3</v>
      </c>
      <c r="Q6" s="16"/>
      <c r="R6" s="1"/>
      <c r="S6" s="1"/>
    </row>
    <row r="7" spans="2:19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2:19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11" spans="2:19" ht="18.75" x14ac:dyDescent="0.3">
      <c r="B11" s="3"/>
      <c r="C11" s="3"/>
      <c r="D11" s="8" t="s">
        <v>6</v>
      </c>
      <c r="E11" s="6"/>
      <c r="F11" s="6"/>
      <c r="G11" s="6"/>
      <c r="H11" s="7" t="s">
        <v>10</v>
      </c>
      <c r="I11" s="3"/>
      <c r="J11" s="8" t="s">
        <v>7</v>
      </c>
      <c r="K11" s="6"/>
      <c r="L11" s="6"/>
      <c r="M11" s="6"/>
      <c r="N11" s="7" t="s">
        <v>10</v>
      </c>
      <c r="O11" s="3"/>
      <c r="P11" s="3"/>
      <c r="Q11" s="3"/>
      <c r="R11" s="3"/>
      <c r="S11" s="3"/>
    </row>
    <row r="12" spans="2:19" x14ac:dyDescent="0.25">
      <c r="B12" s="3"/>
      <c r="C12" s="3"/>
      <c r="D12" s="6"/>
      <c r="E12" s="7" t="s">
        <v>13</v>
      </c>
      <c r="F12" s="6">
        <v>-13.23</v>
      </c>
      <c r="G12" s="6">
        <f>E6</f>
        <v>1</v>
      </c>
      <c r="H12" s="6">
        <f>F12*G12</f>
        <v>-13.23</v>
      </c>
      <c r="I12" s="3"/>
      <c r="J12" s="6"/>
      <c r="K12" s="7" t="s">
        <v>13</v>
      </c>
      <c r="L12" s="6">
        <v>-53.9</v>
      </c>
      <c r="M12" s="6">
        <f>E6</f>
        <v>1</v>
      </c>
      <c r="N12" s="6">
        <f>L12*M12</f>
        <v>-53.9</v>
      </c>
      <c r="O12" s="3"/>
      <c r="P12" s="3"/>
      <c r="Q12" s="3"/>
      <c r="R12" s="3"/>
      <c r="S12" s="3"/>
    </row>
    <row r="13" spans="2:19" x14ac:dyDescent="0.25">
      <c r="B13" s="3"/>
      <c r="C13" s="3"/>
      <c r="D13" s="6"/>
      <c r="E13" s="7" t="s">
        <v>11</v>
      </c>
      <c r="F13" s="6">
        <v>1.35</v>
      </c>
      <c r="G13" s="9">
        <f>H6</f>
        <v>16</v>
      </c>
      <c r="H13" s="6">
        <f>F13*G13</f>
        <v>21.6</v>
      </c>
      <c r="I13" s="3"/>
      <c r="J13" s="6"/>
      <c r="K13" s="7" t="s">
        <v>11</v>
      </c>
      <c r="L13" s="6">
        <v>3.62</v>
      </c>
      <c r="M13" s="9">
        <f>H6</f>
        <v>16</v>
      </c>
      <c r="N13" s="6">
        <f>L13*M13</f>
        <v>57.92</v>
      </c>
      <c r="O13" s="3"/>
      <c r="P13" s="3"/>
      <c r="Q13" s="3"/>
      <c r="R13" s="3"/>
      <c r="S13" s="3"/>
    </row>
    <row r="14" spans="2:19" x14ac:dyDescent="0.25">
      <c r="B14" s="3"/>
      <c r="C14" s="3"/>
      <c r="D14" s="6"/>
      <c r="E14" s="7" t="s">
        <v>12</v>
      </c>
      <c r="F14" s="6">
        <v>-0.14399999999999999</v>
      </c>
      <c r="G14" s="6">
        <f>K6</f>
        <v>90</v>
      </c>
      <c r="H14" s="6">
        <f>F14*G14</f>
        <v>-12.959999999999999</v>
      </c>
      <c r="I14" s="3"/>
      <c r="J14" s="6"/>
      <c r="K14" s="7" t="s">
        <v>12</v>
      </c>
      <c r="L14" s="6">
        <v>2.1999999999999999E-2</v>
      </c>
      <c r="M14" s="6">
        <f>K6</f>
        <v>90</v>
      </c>
      <c r="N14" s="6">
        <f>L14*M14</f>
        <v>1.98</v>
      </c>
      <c r="O14" s="3"/>
      <c r="P14" s="17" t="s">
        <v>4</v>
      </c>
      <c r="Q14" s="17"/>
      <c r="R14" s="3"/>
      <c r="S14" s="3"/>
    </row>
    <row r="15" spans="2:19" x14ac:dyDescent="0.25">
      <c r="B15" s="3"/>
      <c r="C15" s="3"/>
      <c r="D15" s="6"/>
      <c r="E15" s="6"/>
      <c r="F15" s="6"/>
      <c r="G15" s="7" t="s">
        <v>1</v>
      </c>
      <c r="H15" s="6">
        <f>SUM(H12:H14)</f>
        <v>-4.5899999999999981</v>
      </c>
      <c r="I15" s="3"/>
      <c r="J15" s="6"/>
      <c r="K15" s="6"/>
      <c r="L15" s="6"/>
      <c r="M15" s="7" t="s">
        <v>1</v>
      </c>
      <c r="N15" s="6">
        <f>SUM(N12:N14)</f>
        <v>6.0000000000000036</v>
      </c>
      <c r="O15" s="3"/>
      <c r="P15" s="3"/>
      <c r="Q15" s="3"/>
      <c r="R15" s="3"/>
      <c r="S15" s="3"/>
    </row>
    <row r="16" spans="2:19" x14ac:dyDescent="0.25">
      <c r="B16" s="3"/>
      <c r="C16" s="3"/>
      <c r="D16" s="5" t="s">
        <v>0</v>
      </c>
      <c r="E16" s="3">
        <v>1</v>
      </c>
      <c r="F16" s="3"/>
      <c r="G16" s="7" t="s">
        <v>2</v>
      </c>
      <c r="H16" s="6">
        <f>sigmoid(H15)</f>
        <v>1.0050813883473774E-2</v>
      </c>
      <c r="I16" s="3"/>
      <c r="J16" s="3"/>
      <c r="K16" s="3"/>
      <c r="L16" s="3"/>
      <c r="M16" s="7" t="s">
        <v>2</v>
      </c>
      <c r="N16" s="6">
        <f>sigmoid(N15)</f>
        <v>0.99752737684336523</v>
      </c>
      <c r="O16" s="3"/>
      <c r="P16" s="3"/>
      <c r="Q16" s="3"/>
      <c r="R16" s="3"/>
      <c r="S16" s="3"/>
    </row>
    <row r="17" spans="2:19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2:19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21" spans="2:19" ht="18.75" x14ac:dyDescent="0.3">
      <c r="B21" s="4"/>
      <c r="C21" s="4"/>
      <c r="D21" s="4"/>
      <c r="E21" s="4"/>
      <c r="F21" s="4"/>
      <c r="G21" s="8" t="s">
        <v>8</v>
      </c>
      <c r="H21" s="6"/>
      <c r="I21" s="6"/>
      <c r="J21" s="6"/>
      <c r="K21" s="7" t="s">
        <v>10</v>
      </c>
      <c r="L21" s="4"/>
      <c r="M21" s="4"/>
      <c r="N21" s="4"/>
      <c r="O21" s="4"/>
      <c r="P21" s="4"/>
      <c r="Q21" s="4"/>
      <c r="R21" s="4"/>
      <c r="S21" s="4"/>
    </row>
    <row r="22" spans="2:19" x14ac:dyDescent="0.25">
      <c r="B22" s="4"/>
      <c r="C22" s="4"/>
      <c r="D22" s="4"/>
      <c r="E22" s="4"/>
      <c r="F22" s="4"/>
      <c r="G22" s="6"/>
      <c r="H22" s="7" t="s">
        <v>13</v>
      </c>
      <c r="I22" s="6">
        <v>52.470999999999997</v>
      </c>
      <c r="J22" s="6">
        <f>E16</f>
        <v>1</v>
      </c>
      <c r="K22" s="6">
        <f>I22*J22</f>
        <v>52.470999999999997</v>
      </c>
      <c r="L22" s="4"/>
      <c r="M22" s="4"/>
      <c r="N22" s="4"/>
      <c r="O22" s="4"/>
      <c r="P22" s="4"/>
      <c r="Q22" s="4"/>
      <c r="R22" s="4"/>
      <c r="S22" s="4"/>
    </row>
    <row r="23" spans="2:19" x14ac:dyDescent="0.25">
      <c r="B23" s="4"/>
      <c r="C23" s="4"/>
      <c r="D23" s="4"/>
      <c r="E23" s="4"/>
      <c r="F23" s="4"/>
      <c r="G23" s="6"/>
      <c r="H23" s="7" t="s">
        <v>11</v>
      </c>
      <c r="I23" s="6">
        <v>7.04</v>
      </c>
      <c r="J23" s="9">
        <f>H16</f>
        <v>1.0050813883473774E-2</v>
      </c>
      <c r="K23" s="6">
        <f>I23*J23</f>
        <v>7.075772973965537E-2</v>
      </c>
      <c r="L23" s="4"/>
      <c r="M23" s="4"/>
      <c r="N23" s="4"/>
      <c r="O23" s="4"/>
      <c r="P23" s="18" t="s">
        <v>5</v>
      </c>
      <c r="Q23" s="18"/>
      <c r="R23" s="4"/>
      <c r="S23" s="4"/>
    </row>
    <row r="24" spans="2:19" x14ac:dyDescent="0.25">
      <c r="B24" s="4"/>
      <c r="C24" s="4"/>
      <c r="D24" s="4"/>
      <c r="E24" s="4"/>
      <c r="F24" s="4"/>
      <c r="G24" s="6"/>
      <c r="H24" s="7" t="s">
        <v>12</v>
      </c>
      <c r="I24" s="6">
        <v>10.210000000000001</v>
      </c>
      <c r="J24" s="6">
        <f>N16</f>
        <v>0.99752737684336523</v>
      </c>
      <c r="K24" s="6">
        <f>I24*J24</f>
        <v>10.184754517570759</v>
      </c>
      <c r="L24" s="4"/>
      <c r="M24" s="4"/>
      <c r="N24" s="4"/>
      <c r="O24" s="4"/>
      <c r="P24" s="4"/>
      <c r="Q24" s="4"/>
      <c r="R24" s="4"/>
      <c r="S24" s="4"/>
    </row>
    <row r="25" spans="2:19" x14ac:dyDescent="0.25">
      <c r="B25" s="4"/>
      <c r="C25" s="4"/>
      <c r="D25" s="4"/>
      <c r="E25" s="4"/>
      <c r="F25" s="4"/>
      <c r="G25" s="6"/>
      <c r="H25" s="6"/>
      <c r="I25" s="6"/>
      <c r="J25" s="7" t="s">
        <v>1</v>
      </c>
      <c r="K25" s="6">
        <f>SUM(K22:K24)</f>
        <v>62.72651224731041</v>
      </c>
      <c r="L25" s="4"/>
      <c r="M25" s="4"/>
      <c r="N25" s="4"/>
      <c r="O25" s="4"/>
      <c r="P25" s="4"/>
      <c r="Q25" s="4"/>
      <c r="R25" s="4"/>
      <c r="S25" s="4"/>
    </row>
    <row r="26" spans="2:19" ht="21" x14ac:dyDescent="0.35">
      <c r="B26" s="4"/>
      <c r="C26" s="4"/>
      <c r="D26" s="4"/>
      <c r="E26" s="4"/>
      <c r="F26" s="4"/>
      <c r="G26" s="4"/>
      <c r="H26" s="4"/>
      <c r="I26" s="4"/>
      <c r="J26" s="10" t="s">
        <v>2</v>
      </c>
      <c r="K26" s="11">
        <f>K25</f>
        <v>62.72651224731041</v>
      </c>
      <c r="L26" s="12" t="s">
        <v>9</v>
      </c>
      <c r="M26" s="4"/>
      <c r="N26" s="4"/>
      <c r="O26" s="4"/>
      <c r="P26" s="4"/>
      <c r="Q26" s="4"/>
      <c r="R26" s="4"/>
      <c r="S26" s="4"/>
    </row>
  </sheetData>
  <mergeCells count="4">
    <mergeCell ref="P6:Q6"/>
    <mergeCell ref="P14:Q14"/>
    <mergeCell ref="P23:Q23"/>
    <mergeCell ref="F3:H3"/>
  </mergeCells>
  <dataValidations count="2">
    <dataValidation type="whole" allowBlank="1" showInputMessage="1" showErrorMessage="1" sqref="H6" xr:uid="{B9732C4B-6BBA-4728-ADDC-064325CBE056}">
      <formula1>13</formula1>
      <formula2>16</formula2>
    </dataValidation>
    <dataValidation type="decimal" allowBlank="1" showInputMessage="1" showErrorMessage="1" sqref="K6" xr:uid="{72CEECC3-A47D-4C14-A05C-0D8AC74C2100}">
      <formula1>1</formula1>
      <formula2>200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Linked</dc:creator>
  <cp:lastModifiedBy>Linked</cp:lastModifiedBy>
  <dcterms:created xsi:type="dcterms:W3CDTF">2018-01-11T23:47:10Z</dcterms:created>
  <dcterms:modified xsi:type="dcterms:W3CDTF">2019-07-12T14:52:56Z</dcterms:modified>
</cp:coreProperties>
</file>