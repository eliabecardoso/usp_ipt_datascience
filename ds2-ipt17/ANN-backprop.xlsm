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inked\OneDrive\Ex-Dropbox\DS-IPT\"/>
    </mc:Choice>
  </mc:AlternateContent>
  <xr:revisionPtr revIDLastSave="34" documentId="13_ncr:1_{081A6C1A-95E5-490B-A038-549AF8F2887A}" xr6:coauthVersionLast="45" xr6:coauthVersionMax="45" xr10:uidLastSave="{BF4A8769-93DB-4CD1-9E9C-5F8253628079}"/>
  <bookViews>
    <workbookView xWindow="-120" yWindow="-120" windowWidth="20730" windowHeight="11160" activeTab="1" xr2:uid="{29D7C2C5-3CBB-440F-A788-753BEBB64A96}"/>
  </bookViews>
  <sheets>
    <sheet name="backpropagation" sheetId="3" r:id="rId1"/>
    <sheet name="Planilha1" sheetId="4" r:id="rId2"/>
  </sheets>
  <functionGroups builtInGroupCount="19"/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4" l="1"/>
  <c r="F5" i="4" s="1"/>
  <c r="P7" i="4"/>
  <c r="P8" i="4"/>
  <c r="P9" i="4"/>
  <c r="P6" i="4"/>
  <c r="J5" i="4" s="1"/>
  <c r="D9" i="4"/>
  <c r="D10" i="4"/>
  <c r="D11" i="4"/>
  <c r="D8" i="4"/>
  <c r="P49" i="3" l="1" a="1"/>
  <c r="P49" i="3" s="1"/>
  <c r="F50" i="3"/>
  <c r="I50" i="3" s="1"/>
  <c r="F51" i="3"/>
  <c r="I51" i="3" s="1"/>
  <c r="F52" i="3"/>
  <c r="I52" i="3" s="1"/>
  <c r="F49" i="3"/>
  <c r="I49" i="3" s="1"/>
  <c r="E50" i="3"/>
  <c r="H50" i="3" s="1"/>
  <c r="E51" i="3"/>
  <c r="H51" i="3" s="1"/>
  <c r="E52" i="3"/>
  <c r="H52" i="3" s="1"/>
  <c r="E49" i="3"/>
  <c r="H49" i="3" s="1"/>
  <c r="S49" i="3" s="1"/>
  <c r="C37" i="3"/>
  <c r="D37" i="3"/>
  <c r="E37" i="3"/>
  <c r="C38" i="3"/>
  <c r="D38" i="3"/>
  <c r="E38" i="3"/>
  <c r="C39" i="3"/>
  <c r="D39" i="3"/>
  <c r="E39" i="3"/>
  <c r="E41" i="3" s="1"/>
  <c r="E43" i="3" s="1"/>
  <c r="E36" i="3"/>
  <c r="D36" i="3"/>
  <c r="C36" i="3"/>
  <c r="F24" i="3"/>
  <c r="F25" i="3"/>
  <c r="F26" i="3"/>
  <c r="F23" i="3"/>
  <c r="T50" i="3" l="1"/>
  <c r="S52" i="3"/>
  <c r="K74" i="3"/>
  <c r="L74" i="3"/>
  <c r="M74" i="3"/>
  <c r="Q52" i="3"/>
  <c r="T52" i="3" s="1"/>
  <c r="Q50" i="3"/>
  <c r="P52" i="3"/>
  <c r="P50" i="3"/>
  <c r="S50" i="3" s="1"/>
  <c r="Q51" i="3"/>
  <c r="T51" i="3" s="1"/>
  <c r="Q49" i="3"/>
  <c r="T49" i="3" s="1"/>
  <c r="P51" i="3"/>
  <c r="S51" i="3" s="1"/>
  <c r="D41" i="3"/>
  <c r="D43" i="3" s="1"/>
  <c r="C41" i="3"/>
  <c r="C43" i="3" s="1"/>
  <c r="O11" i="3"/>
  <c r="M11" i="3"/>
  <c r="I11" i="3"/>
  <c r="G11" i="3"/>
  <c r="M73" i="3" l="1"/>
  <c r="L73" i="3"/>
  <c r="K73" i="3"/>
  <c r="L72" i="3"/>
  <c r="M72" i="3"/>
  <c r="K72" i="3"/>
  <c r="M71" i="3"/>
  <c r="M76" i="3" s="1"/>
  <c r="E79" i="3" s="1"/>
  <c r="L71" i="3"/>
  <c r="L76" i="3" s="1"/>
  <c r="D79" i="3" s="1"/>
  <c r="K71" i="3"/>
  <c r="K61" i="3"/>
  <c r="L61" i="3"/>
  <c r="M61" i="3"/>
  <c r="M60" i="3"/>
  <c r="K60" i="3"/>
  <c r="L60" i="3"/>
  <c r="L59" i="3"/>
  <c r="M59" i="3"/>
  <c r="K59" i="3"/>
  <c r="M58" i="3"/>
  <c r="K58" i="3"/>
  <c r="K63" i="3" s="1"/>
  <c r="C65" i="3" s="1"/>
  <c r="L58" i="3"/>
  <c r="M16" i="3"/>
  <c r="G16" i="3"/>
  <c r="M18" i="3"/>
  <c r="G18" i="3"/>
  <c r="K76" i="3" l="1"/>
  <c r="C79" i="3" s="1"/>
  <c r="L63" i="3"/>
  <c r="D65" i="3" s="1"/>
  <c r="M63" i="3"/>
  <c r="E65" i="3" s="1"/>
  <c r="J25" i="3"/>
  <c r="K6" i="3"/>
  <c r="L25" i="3"/>
  <c r="J30" i="3" l="1"/>
  <c r="J32" i="3" s="1"/>
  <c r="J34" i="3" l="1"/>
</calcChain>
</file>

<file path=xl/sharedStrings.xml><?xml version="1.0" encoding="utf-8"?>
<sst xmlns="http://schemas.openxmlformats.org/spreadsheetml/2006/main" count="80" uniqueCount="40">
  <si>
    <t>x2</t>
  </si>
  <si>
    <t>x0</t>
  </si>
  <si>
    <t>x1</t>
  </si>
  <si>
    <t>theta0</t>
  </si>
  <si>
    <t>theta1</t>
  </si>
  <si>
    <t>theta2</t>
  </si>
  <si>
    <t>soma</t>
  </si>
  <si>
    <t>output</t>
  </si>
  <si>
    <t>binary out</t>
  </si>
  <si>
    <t>entrada</t>
  </si>
  <si>
    <t>ye</t>
  </si>
  <si>
    <t>y</t>
  </si>
  <si>
    <t>output h</t>
  </si>
  <si>
    <t>derivada</t>
  </si>
  <si>
    <t>média</t>
  </si>
  <si>
    <t>Grad. Desc</t>
  </si>
  <si>
    <t>prod h(1-h)</t>
  </si>
  <si>
    <t>camada hidden</t>
  </si>
  <si>
    <t>camada output</t>
  </si>
  <si>
    <t>hidden error</t>
  </si>
  <si>
    <t>Perceptron 1</t>
  </si>
  <si>
    <t>output error</t>
  </si>
  <si>
    <t>input output</t>
  </si>
  <si>
    <t>deriv1</t>
  </si>
  <si>
    <t>deriv2</t>
  </si>
  <si>
    <t>deriv3</t>
  </si>
  <si>
    <t>hidden_error</t>
  </si>
  <si>
    <t>pesos camada k+1</t>
  </si>
  <si>
    <t>Somatória de erros*pesos da camada k+1</t>
  </si>
  <si>
    <t>Perceptron2</t>
  </si>
  <si>
    <t>alpha=0.1</t>
  </si>
  <si>
    <t>erro output</t>
  </si>
  <si>
    <t>hidden output</t>
  </si>
  <si>
    <t>1-hidden o</t>
  </si>
  <si>
    <t>camada output linear</t>
  </si>
  <si>
    <t>Expressão</t>
  </si>
  <si>
    <t>Geral</t>
  </si>
  <si>
    <t>camada</t>
  </si>
  <si>
    <t>hidden</t>
  </si>
  <si>
    <t>(ye-y)^2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</si>
</sst>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3" borderId="0" xfId="0" applyFont="1" applyFill="1"/>
    <xf numFmtId="0" fontId="0" fillId="6" borderId="0" xfId="0" applyFill="1"/>
    <xf numFmtId="0" fontId="1" fillId="0" borderId="0" xfId="0" applyFont="1"/>
    <xf numFmtId="0" fontId="0" fillId="7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0</xdr:rowOff>
    </xdr:from>
    <xdr:to>
      <xdr:col>3</xdr:col>
      <xdr:colOff>276225</xdr:colOff>
      <xdr:row>19</xdr:row>
      <xdr:rowOff>95250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1A0910A-1972-44BE-A23E-EF5C18F88070}"/>
            </a:ext>
          </a:extLst>
        </xdr:cNvPr>
        <xdr:cNvSpPr txBox="1"/>
      </xdr:nvSpPr>
      <xdr:spPr>
        <a:xfrm>
          <a:off x="152400" y="190500"/>
          <a:ext cx="2190750" cy="3524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/>
            <a:t>1)Nesta planilha, fazemos o forward com os valores</a:t>
          </a:r>
          <a:r>
            <a:rPr lang="pt-BR" sz="1100" baseline="0"/>
            <a:t> 0,0 0,1 1,0 e 1,1 e depois fazemos o backpropagation.</a:t>
          </a:r>
        </a:p>
        <a:p>
          <a:r>
            <a:rPr lang="pt-BR" sz="1100" baseline="0"/>
            <a:t>2)Calculamos o erro na camada output. Com ele e o output da camada hidden, obtmos as derivadas parciais do erro em relação aos pesos do perceptron da camada output.</a:t>
          </a:r>
        </a:p>
        <a:p>
          <a:r>
            <a:rPr lang="pt-BR" sz="1100" baseline="0"/>
            <a:t>3)Com o erro da camada output + pesos dela e o output da camada hidden, calculamos as derivadas do erro em relação aos pesos dos perceptrons da camada hidden.</a:t>
          </a:r>
        </a:p>
        <a:p>
          <a:r>
            <a:rPr lang="pt-BR" sz="1100" baseline="0"/>
            <a:t>4)usamos gradient descent para atualizar todos os pesos...</a:t>
          </a:r>
        </a:p>
        <a:p>
          <a:r>
            <a:rPr lang="pt-BR" sz="1100" baseline="0"/>
            <a:t>5)Repetir o processo do passo 1 a 4 com os novos pesos.</a:t>
          </a:r>
        </a:p>
        <a:p>
          <a:r>
            <a:rPr lang="pt-BR" sz="1100" baseline="0"/>
            <a:t>A planilha só mostra uma iteração.</a:t>
          </a:r>
        </a:p>
        <a:p>
          <a:endParaRPr lang="pt-BR" sz="1100"/>
        </a:p>
      </xdr:txBody>
    </xdr:sp>
    <xdr:clientData/>
  </xdr:twoCellAnchor>
  <xdr:twoCellAnchor editAs="oneCell">
    <xdr:from>
      <xdr:col>11</xdr:col>
      <xdr:colOff>466725</xdr:colOff>
      <xdr:row>37</xdr:row>
      <xdr:rowOff>180975</xdr:rowOff>
    </xdr:from>
    <xdr:to>
      <xdr:col>13</xdr:col>
      <xdr:colOff>495300</xdr:colOff>
      <xdr:row>40</xdr:row>
      <xdr:rowOff>161925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D4BF43D-33D7-4DAD-9AB3-15F83F6B49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5775" y="7229475"/>
          <a:ext cx="1247775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63</xdr:row>
      <xdr:rowOff>28575</xdr:rowOff>
    </xdr:from>
    <xdr:to>
      <xdr:col>16</xdr:col>
      <xdr:colOff>752475</xdr:colOff>
      <xdr:row>67</xdr:row>
      <xdr:rowOff>19050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FD39E67-1101-4178-8CF3-0E838D2109A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05950" y="12030075"/>
          <a:ext cx="2552700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38100</xdr:colOff>
      <xdr:row>3</xdr:row>
      <xdr:rowOff>38100</xdr:rowOff>
    </xdr:from>
    <xdr:to>
      <xdr:col>15</xdr:col>
      <xdr:colOff>381000</xdr:colOff>
      <xdr:row>6</xdr:row>
      <xdr:rowOff>180975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362C61D8-5CE9-458C-8813-4DA700545F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6350" y="609600"/>
          <a:ext cx="1562100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46F58-D8F3-465A-8B52-2E3FD1B8202A}">
  <sheetPr codeName="Planilha3"/>
  <dimension ref="B4:T79"/>
  <sheetViews>
    <sheetView topLeftCell="A26" workbookViewId="0">
      <selection activeCell="K6" sqref="K6"/>
    </sheetView>
  </sheetViews>
  <sheetFormatPr defaultRowHeight="15" x14ac:dyDescent="0.25"/>
  <cols>
    <col min="2" max="2" width="16" customWidth="1"/>
    <col min="6" max="6" width="11.7109375" customWidth="1"/>
    <col min="11" max="11" width="13.7109375" customWidth="1"/>
    <col min="16" max="16" width="18.42578125" customWidth="1"/>
    <col min="17" max="17" width="23.140625" customWidth="1"/>
    <col min="20" max="20" width="12" bestFit="1" customWidth="1"/>
  </cols>
  <sheetData>
    <row r="4" spans="5:20" x14ac:dyDescent="0.25">
      <c r="I4" s="4" t="s">
        <v>2</v>
      </c>
      <c r="J4" s="4"/>
      <c r="K4" s="4" t="s">
        <v>0</v>
      </c>
    </row>
    <row r="5" spans="5:20" x14ac:dyDescent="0.25">
      <c r="I5" s="1">
        <v>1</v>
      </c>
      <c r="K5" s="1">
        <v>1</v>
      </c>
      <c r="M5" t="s">
        <v>35</v>
      </c>
    </row>
    <row r="6" spans="5:20" x14ac:dyDescent="0.25">
      <c r="K6">
        <f>G18</f>
        <v>0.7310585786300049</v>
      </c>
      <c r="M6" t="s">
        <v>36</v>
      </c>
    </row>
    <row r="10" spans="5:20" x14ac:dyDescent="0.25">
      <c r="E10" s="3" t="s">
        <v>1</v>
      </c>
      <c r="F10" s="3"/>
      <c r="G10" s="3" t="s">
        <v>2</v>
      </c>
      <c r="H10" s="3"/>
      <c r="I10" s="3" t="s">
        <v>0</v>
      </c>
      <c r="K10" s="3" t="s">
        <v>1</v>
      </c>
      <c r="L10" s="3"/>
      <c r="M10" s="3" t="s">
        <v>2</v>
      </c>
      <c r="N10" s="3"/>
      <c r="O10" s="3" t="s">
        <v>0</v>
      </c>
    </row>
    <row r="11" spans="5:20" x14ac:dyDescent="0.25">
      <c r="E11" s="3">
        <v>1</v>
      </c>
      <c r="F11" s="3"/>
      <c r="G11" s="2">
        <f>I5</f>
        <v>1</v>
      </c>
      <c r="H11" s="3"/>
      <c r="I11" s="2">
        <f>K5</f>
        <v>1</v>
      </c>
      <c r="K11" s="3">
        <v>1</v>
      </c>
      <c r="L11" s="3"/>
      <c r="M11" s="2">
        <f>I5</f>
        <v>1</v>
      </c>
      <c r="N11" s="3"/>
      <c r="O11" s="2">
        <f>K5</f>
        <v>1</v>
      </c>
    </row>
    <row r="12" spans="5:20" x14ac:dyDescent="0.25">
      <c r="E12" s="3"/>
      <c r="F12" s="3"/>
      <c r="G12" s="3"/>
      <c r="H12" s="3"/>
      <c r="I12" s="3"/>
      <c r="K12" s="3"/>
      <c r="L12" s="3"/>
      <c r="M12" s="3"/>
      <c r="N12" s="3"/>
      <c r="O12" s="3"/>
    </row>
    <row r="13" spans="5:20" x14ac:dyDescent="0.25">
      <c r="E13" s="3" t="s">
        <v>3</v>
      </c>
      <c r="F13" s="3"/>
      <c r="G13" s="3" t="s">
        <v>4</v>
      </c>
      <c r="H13" s="3"/>
      <c r="I13" s="3" t="s">
        <v>5</v>
      </c>
      <c r="K13" s="3" t="s">
        <v>3</v>
      </c>
      <c r="L13" s="3"/>
      <c r="M13" s="3" t="s">
        <v>4</v>
      </c>
      <c r="N13" s="3"/>
      <c r="O13" s="3" t="s">
        <v>5</v>
      </c>
    </row>
    <row r="14" spans="5:20" x14ac:dyDescent="0.25">
      <c r="E14" s="3">
        <v>0.1</v>
      </c>
      <c r="F14" s="3"/>
      <c r="G14" s="3">
        <v>0.6</v>
      </c>
      <c r="H14" s="3"/>
      <c r="I14" s="3">
        <v>0.3</v>
      </c>
      <c r="K14" s="3">
        <v>0.4</v>
      </c>
      <c r="L14" s="3"/>
      <c r="M14" s="3">
        <v>0.2</v>
      </c>
      <c r="N14" s="3"/>
      <c r="O14" s="3">
        <v>0.8</v>
      </c>
      <c r="R14" s="3"/>
      <c r="S14" s="3"/>
      <c r="T14" s="3"/>
    </row>
    <row r="15" spans="5:20" x14ac:dyDescent="0.25">
      <c r="E15" s="3"/>
      <c r="F15" s="3"/>
      <c r="G15" s="3"/>
      <c r="H15" s="3"/>
      <c r="I15" s="3"/>
      <c r="K15" s="3"/>
      <c r="L15" s="3"/>
      <c r="M15" s="3"/>
      <c r="N15" s="3"/>
      <c r="O15" s="3"/>
    </row>
    <row r="16" spans="5:20" x14ac:dyDescent="0.25">
      <c r="E16" s="1"/>
      <c r="F16" s="1" t="s">
        <v>6</v>
      </c>
      <c r="G16" s="1">
        <f>E11*E14+G11*G14+I11*I14</f>
        <v>1</v>
      </c>
      <c r="H16" s="1"/>
      <c r="I16" s="1"/>
      <c r="K16" s="1"/>
      <c r="L16" s="1" t="s">
        <v>6</v>
      </c>
      <c r="M16" s="1">
        <f>K11*K14+M11*M14+O11*O14</f>
        <v>1.4000000000000001</v>
      </c>
      <c r="N16" s="1"/>
      <c r="O16" s="1"/>
    </row>
    <row r="17" spans="2:15" x14ac:dyDescent="0.25">
      <c r="E17" s="1"/>
      <c r="F17" s="1"/>
      <c r="G17" s="1"/>
      <c r="H17" s="1"/>
      <c r="I17" s="1"/>
      <c r="K17" s="1"/>
      <c r="L17" s="1"/>
      <c r="M17" s="1"/>
      <c r="N17" s="1"/>
      <c r="O17" s="1"/>
    </row>
    <row r="18" spans="2:15" x14ac:dyDescent="0.25">
      <c r="E18" s="1"/>
      <c r="F18" s="1" t="s">
        <v>7</v>
      </c>
      <c r="G18" s="1">
        <f>sigmoid(G16)</f>
        <v>0.7310585786300049</v>
      </c>
      <c r="H18" s="1"/>
      <c r="I18" s="1"/>
      <c r="K18" s="1"/>
      <c r="L18" s="1" t="s">
        <v>7</v>
      </c>
      <c r="M18" s="1">
        <f>sigmoid(M16)</f>
        <v>0.8021838885585818</v>
      </c>
      <c r="N18" s="1"/>
      <c r="O18" s="1"/>
    </row>
    <row r="19" spans="2:15" x14ac:dyDescent="0.25">
      <c r="E19" s="1"/>
      <c r="F19" s="1"/>
      <c r="G19" s="1"/>
      <c r="H19" s="1"/>
      <c r="I19" s="1"/>
      <c r="K19" s="1"/>
      <c r="L19" s="1"/>
      <c r="M19" s="1"/>
      <c r="N19" s="1"/>
      <c r="O19" s="1"/>
    </row>
    <row r="20" spans="2:15" x14ac:dyDescent="0.25">
      <c r="E20" s="2"/>
      <c r="F20" s="2"/>
      <c r="G20" s="2"/>
      <c r="H20" s="2"/>
      <c r="I20" s="5"/>
      <c r="J20" s="2"/>
      <c r="K20" s="2"/>
      <c r="L20" s="2"/>
      <c r="M20" s="2"/>
      <c r="N20" s="2"/>
      <c r="O20" s="5"/>
    </row>
    <row r="22" spans="2:15" x14ac:dyDescent="0.25">
      <c r="B22" s="7" t="s">
        <v>9</v>
      </c>
      <c r="C22" s="7"/>
      <c r="D22" s="7" t="s">
        <v>10</v>
      </c>
      <c r="E22" s="7" t="s">
        <v>11</v>
      </c>
      <c r="F22" s="7" t="s">
        <v>31</v>
      </c>
    </row>
    <row r="23" spans="2:15" x14ac:dyDescent="0.25">
      <c r="B23">
        <v>0</v>
      </c>
      <c r="C23" s="3">
        <v>0</v>
      </c>
      <c r="D23" s="3">
        <v>1.0915299999999999</v>
      </c>
      <c r="E23" s="3">
        <v>0</v>
      </c>
      <c r="F23">
        <f>D23-E23</f>
        <v>1.0915299999999999</v>
      </c>
    </row>
    <row r="24" spans="2:15" x14ac:dyDescent="0.25">
      <c r="B24">
        <v>0</v>
      </c>
      <c r="C24">
        <v>1</v>
      </c>
      <c r="D24">
        <v>1.276786</v>
      </c>
      <c r="E24">
        <v>1</v>
      </c>
      <c r="F24">
        <f t="shared" ref="F24:F26" si="0">D24-E24</f>
        <v>0.27678599999999998</v>
      </c>
      <c r="H24" s="3" t="s">
        <v>1</v>
      </c>
      <c r="I24" s="3"/>
      <c r="J24" s="3" t="s">
        <v>2</v>
      </c>
      <c r="K24" s="3"/>
      <c r="L24" s="3" t="s">
        <v>0</v>
      </c>
    </row>
    <row r="25" spans="2:15" x14ac:dyDescent="0.25">
      <c r="B25">
        <v>1</v>
      </c>
      <c r="C25">
        <v>0</v>
      </c>
      <c r="D25">
        <v>1.253328</v>
      </c>
      <c r="E25">
        <v>1</v>
      </c>
      <c r="F25">
        <f t="shared" si="0"/>
        <v>0.253328</v>
      </c>
      <c r="H25" s="3">
        <v>1</v>
      </c>
      <c r="I25" s="3"/>
      <c r="J25" s="2">
        <f>G18</f>
        <v>0.7310585786300049</v>
      </c>
      <c r="K25" s="3"/>
      <c r="L25" s="2">
        <f>M18</f>
        <v>0.8021838885585818</v>
      </c>
    </row>
    <row r="26" spans="2:15" x14ac:dyDescent="0.25">
      <c r="B26">
        <v>1</v>
      </c>
      <c r="C26">
        <v>1</v>
      </c>
      <c r="D26">
        <v>1.4194800000000001</v>
      </c>
      <c r="E26">
        <v>0</v>
      </c>
      <c r="F26">
        <f t="shared" si="0"/>
        <v>1.4194800000000001</v>
      </c>
      <c r="H26" s="3"/>
      <c r="I26" s="3"/>
      <c r="J26" s="3"/>
      <c r="K26" s="3"/>
      <c r="L26" s="3"/>
    </row>
    <row r="27" spans="2:15" x14ac:dyDescent="0.25">
      <c r="H27" s="3" t="s">
        <v>3</v>
      </c>
      <c r="I27" s="3"/>
      <c r="J27" s="3" t="s">
        <v>4</v>
      </c>
      <c r="K27" s="3"/>
      <c r="L27" s="3" t="s">
        <v>5</v>
      </c>
    </row>
    <row r="28" spans="2:15" x14ac:dyDescent="0.25">
      <c r="H28" s="3">
        <v>0.2</v>
      </c>
      <c r="I28" s="3"/>
      <c r="J28" s="3">
        <v>1</v>
      </c>
      <c r="K28" s="3"/>
      <c r="L28" s="3">
        <v>0.7</v>
      </c>
    </row>
    <row r="29" spans="2:15" x14ac:dyDescent="0.25">
      <c r="B29" t="s">
        <v>9</v>
      </c>
      <c r="D29" t="s">
        <v>12</v>
      </c>
      <c r="H29" s="3"/>
      <c r="I29" s="3"/>
      <c r="J29" s="3"/>
      <c r="K29" s="3"/>
      <c r="L29" s="3"/>
    </row>
    <row r="30" spans="2:15" x14ac:dyDescent="0.25">
      <c r="B30">
        <v>0</v>
      </c>
      <c r="C30" s="3">
        <v>0</v>
      </c>
      <c r="D30">
        <v>1</v>
      </c>
      <c r="E30">
        <v>0.52497899999999997</v>
      </c>
      <c r="F30">
        <v>1.0915299999999999</v>
      </c>
      <c r="H30" s="1"/>
      <c r="I30" s="1" t="s">
        <v>6</v>
      </c>
      <c r="J30" s="1">
        <f>H25*H28+J25*J28+L25*L28</f>
        <v>1.4925873006210122</v>
      </c>
      <c r="K30" s="1"/>
      <c r="L30" s="1"/>
    </row>
    <row r="31" spans="2:15" x14ac:dyDescent="0.25">
      <c r="B31">
        <v>0</v>
      </c>
      <c r="C31">
        <v>1</v>
      </c>
      <c r="D31">
        <v>1</v>
      </c>
      <c r="E31">
        <v>0.598688</v>
      </c>
      <c r="F31">
        <v>0.27678599999999998</v>
      </c>
      <c r="H31" s="1"/>
      <c r="I31" s="1"/>
      <c r="J31" s="1"/>
      <c r="K31" s="1"/>
      <c r="L31" s="1"/>
    </row>
    <row r="32" spans="2:15" x14ac:dyDescent="0.25">
      <c r="B32">
        <v>1</v>
      </c>
      <c r="C32">
        <v>0</v>
      </c>
      <c r="D32">
        <v>1</v>
      </c>
      <c r="E32">
        <v>0.668188</v>
      </c>
      <c r="F32">
        <v>0.253328</v>
      </c>
      <c r="H32" s="1"/>
      <c r="I32" s="1" t="s">
        <v>7</v>
      </c>
      <c r="J32" s="1">
        <f>J30</f>
        <v>1.4925873006210122</v>
      </c>
      <c r="K32" s="1"/>
      <c r="L32" s="1"/>
    </row>
    <row r="33" spans="2:20" x14ac:dyDescent="0.25">
      <c r="B33">
        <v>1</v>
      </c>
      <c r="C33">
        <v>1</v>
      </c>
      <c r="D33">
        <v>1</v>
      </c>
      <c r="E33">
        <v>0.73105900000000001</v>
      </c>
      <c r="F33">
        <v>1.4194800000000001</v>
      </c>
      <c r="H33" s="1"/>
      <c r="I33" s="1"/>
      <c r="J33" s="1"/>
      <c r="K33" s="1"/>
      <c r="L33" s="1"/>
    </row>
    <row r="34" spans="2:20" x14ac:dyDescent="0.25">
      <c r="H34" s="2"/>
      <c r="I34" s="6" t="s">
        <v>8</v>
      </c>
      <c r="J34" s="6">
        <f>IF(J32&gt;0.5,1,0)</f>
        <v>1</v>
      </c>
      <c r="K34" s="2"/>
      <c r="L34" s="5"/>
    </row>
    <row r="35" spans="2:20" x14ac:dyDescent="0.25">
      <c r="B35" t="s">
        <v>13</v>
      </c>
      <c r="C35" t="s">
        <v>3</v>
      </c>
      <c r="D35" t="s">
        <v>4</v>
      </c>
      <c r="E35" t="s">
        <v>5</v>
      </c>
      <c r="F35" s="7" t="s">
        <v>21</v>
      </c>
      <c r="G35" s="9" t="s">
        <v>12</v>
      </c>
      <c r="H35" s="9"/>
      <c r="I35" s="9"/>
    </row>
    <row r="36" spans="2:20" x14ac:dyDescent="0.25">
      <c r="B36" s="1" t="s">
        <v>18</v>
      </c>
      <c r="C36">
        <f>F36*G36</f>
        <v>1.0915299999999999</v>
      </c>
      <c r="D36">
        <f>F36*H36</f>
        <v>0.57303032786999997</v>
      </c>
      <c r="E36">
        <f>F36*I36</f>
        <v>0.65337675963999997</v>
      </c>
      <c r="F36">
        <v>1.0915299999999999</v>
      </c>
      <c r="G36">
        <v>1</v>
      </c>
      <c r="H36">
        <v>0.52497899999999997</v>
      </c>
      <c r="I36">
        <v>0.59858800000000001</v>
      </c>
    </row>
    <row r="37" spans="2:20" x14ac:dyDescent="0.25">
      <c r="C37">
        <f t="shared" ref="C37:C39" si="1">F37*G37</f>
        <v>0.27678599999999998</v>
      </c>
      <c r="D37">
        <f t="shared" ref="D37:D39" si="2">F37*H37</f>
        <v>0.16570845676799997</v>
      </c>
      <c r="E37">
        <f t="shared" ref="E37:E39" si="3">F37*I37</f>
        <v>0.21271696064999998</v>
      </c>
      <c r="F37">
        <v>0.27678599999999998</v>
      </c>
      <c r="G37">
        <v>1</v>
      </c>
      <c r="H37">
        <v>0.598688</v>
      </c>
      <c r="I37">
        <v>0.76852500000000001</v>
      </c>
    </row>
    <row r="38" spans="2:20" x14ac:dyDescent="0.25">
      <c r="C38">
        <f t="shared" si="1"/>
        <v>0.253328</v>
      </c>
      <c r="D38">
        <f t="shared" si="2"/>
        <v>0.169270729664</v>
      </c>
      <c r="E38">
        <f t="shared" si="3"/>
        <v>0.16356274316800001</v>
      </c>
      <c r="F38">
        <v>0.253328</v>
      </c>
      <c r="G38">
        <v>1</v>
      </c>
      <c r="H38">
        <v>0.668188</v>
      </c>
      <c r="I38">
        <v>0.64565600000000001</v>
      </c>
    </row>
    <row r="39" spans="2:20" x14ac:dyDescent="0.25">
      <c r="C39">
        <f t="shared" si="1"/>
        <v>1.4194800000000001</v>
      </c>
      <c r="D39">
        <f t="shared" si="2"/>
        <v>1.0377236293200001</v>
      </c>
      <c r="E39">
        <f t="shared" si="3"/>
        <v>1.13868414432</v>
      </c>
      <c r="F39">
        <v>1.4194800000000001</v>
      </c>
      <c r="G39">
        <v>1</v>
      </c>
      <c r="H39">
        <v>0.73105900000000001</v>
      </c>
      <c r="I39">
        <v>0.80218400000000001</v>
      </c>
    </row>
    <row r="40" spans="2:20" x14ac:dyDescent="0.25">
      <c r="K40" t="s">
        <v>34</v>
      </c>
    </row>
    <row r="41" spans="2:20" x14ac:dyDescent="0.25">
      <c r="B41" t="s">
        <v>14</v>
      </c>
      <c r="C41">
        <f>AVERAGE(C36:C39)</f>
        <v>0.76028099999999998</v>
      </c>
      <c r="D41">
        <f t="shared" ref="D41:E41" si="4">AVERAGE(D36:D39)</f>
        <v>0.4864332859055</v>
      </c>
      <c r="E41">
        <f t="shared" si="4"/>
        <v>0.54208515194450002</v>
      </c>
    </row>
    <row r="43" spans="2:20" x14ac:dyDescent="0.25">
      <c r="B43" s="8" t="s">
        <v>15</v>
      </c>
      <c r="C43" s="8">
        <f>0.2-0.1*C41</f>
        <v>0.12397190000000001</v>
      </c>
      <c r="D43" s="8">
        <f>0.9-0.1*D41</f>
        <v>0.85135667140945004</v>
      </c>
      <c r="E43" s="8">
        <f>0.7-0.1*E41</f>
        <v>0.64579148480554993</v>
      </c>
      <c r="F43" t="s">
        <v>30</v>
      </c>
    </row>
    <row r="46" spans="2:20" x14ac:dyDescent="0.25">
      <c r="B46" s="1" t="s">
        <v>17</v>
      </c>
    </row>
    <row r="48" spans="2:20" x14ac:dyDescent="0.25">
      <c r="B48" t="s">
        <v>32</v>
      </c>
      <c r="E48" t="s">
        <v>33</v>
      </c>
      <c r="H48" t="s">
        <v>16</v>
      </c>
      <c r="K48" s="1" t="s">
        <v>21</v>
      </c>
      <c r="M48" s="9" t="s">
        <v>27</v>
      </c>
      <c r="N48" s="9"/>
      <c r="P48" s="1" t="s">
        <v>28</v>
      </c>
      <c r="Q48" s="1"/>
      <c r="S48" s="10" t="s">
        <v>26</v>
      </c>
      <c r="T48" s="10"/>
    </row>
    <row r="49" spans="2:20" x14ac:dyDescent="0.25">
      <c r="B49">
        <v>0.52497899999999997</v>
      </c>
      <c r="C49">
        <v>0.59858800000000001</v>
      </c>
      <c r="E49">
        <f>1-B49</f>
        <v>0.47502100000000003</v>
      </c>
      <c r="F49">
        <f>1-C49</f>
        <v>0.40141199999999999</v>
      </c>
      <c r="H49">
        <f>B49*E49</f>
        <v>0.249376049559</v>
      </c>
      <c r="I49">
        <f>C49*F49</f>
        <v>0.240280406256</v>
      </c>
      <c r="K49">
        <v>1.0915299999999999</v>
      </c>
      <c r="M49">
        <v>0.9</v>
      </c>
      <c r="N49">
        <v>0.7</v>
      </c>
      <c r="P49">
        <f t="array" ref="P49:Q52">MMULT(K49:K52,M49:N49)</f>
        <v>0.98237699999999994</v>
      </c>
      <c r="Q49">
        <v>0.76407099999999983</v>
      </c>
      <c r="S49">
        <f>H49*P49</f>
        <v>0.24498129543762173</v>
      </c>
      <c r="T49">
        <f>I49*Q49</f>
        <v>0.18359129028842813</v>
      </c>
    </row>
    <row r="50" spans="2:20" x14ac:dyDescent="0.25">
      <c r="B50">
        <v>0.598688</v>
      </c>
      <c r="C50">
        <v>0.76852500000000001</v>
      </c>
      <c r="E50">
        <f t="shared" ref="E50:E52" si="5">1-B50</f>
        <v>0.401312</v>
      </c>
      <c r="F50">
        <f t="shared" ref="F50:F52" si="6">1-C50</f>
        <v>0.23147499999999999</v>
      </c>
      <c r="H50">
        <f t="shared" ref="H50:H52" si="7">B50*E50</f>
        <v>0.24026067865600001</v>
      </c>
      <c r="I50">
        <f t="shared" ref="I50:I52" si="8">C50*F50</f>
        <v>0.177894324375</v>
      </c>
      <c r="K50">
        <v>0.27678599999999998</v>
      </c>
      <c r="P50">
        <v>0.24910739999999998</v>
      </c>
      <c r="Q50">
        <v>0.19375019999999998</v>
      </c>
      <c r="S50">
        <f t="shared" ref="S50:S52" si="9">H50*P50</f>
        <v>5.9850712982231651E-2</v>
      </c>
      <c r="T50">
        <f t="shared" ref="T50:T52" si="10">I50*Q50</f>
        <v>3.4467060926521124E-2</v>
      </c>
    </row>
    <row r="51" spans="2:20" x14ac:dyDescent="0.25">
      <c r="B51">
        <v>0.668188</v>
      </c>
      <c r="C51">
        <v>0.64565600000000001</v>
      </c>
      <c r="E51">
        <f t="shared" si="5"/>
        <v>0.331812</v>
      </c>
      <c r="F51">
        <f t="shared" si="6"/>
        <v>0.35434399999999999</v>
      </c>
      <c r="H51">
        <f t="shared" si="7"/>
        <v>0.22171279665599999</v>
      </c>
      <c r="I51">
        <f t="shared" si="8"/>
        <v>0.228784329664</v>
      </c>
      <c r="K51">
        <v>0.253328</v>
      </c>
      <c r="P51">
        <v>0.22799520000000001</v>
      </c>
      <c r="Q51">
        <v>0.17732959999999998</v>
      </c>
      <c r="S51">
        <f t="shared" si="9"/>
        <v>5.0549453416144051E-2</v>
      </c>
      <c r="T51">
        <f t="shared" si="10"/>
        <v>4.0570233665585251E-2</v>
      </c>
    </row>
    <row r="52" spans="2:20" x14ac:dyDescent="0.25">
      <c r="B52">
        <v>0.73105900000000001</v>
      </c>
      <c r="C52">
        <v>0.80218400000000001</v>
      </c>
      <c r="E52">
        <f t="shared" si="5"/>
        <v>0.26894099999999999</v>
      </c>
      <c r="F52">
        <f t="shared" si="6"/>
        <v>0.19781599999999999</v>
      </c>
      <c r="H52">
        <f t="shared" si="7"/>
        <v>0.19661173851899999</v>
      </c>
      <c r="I52">
        <f t="shared" si="8"/>
        <v>0.15868483014400001</v>
      </c>
      <c r="K52">
        <v>1.4194800000000001</v>
      </c>
      <c r="P52">
        <v>1.2775320000000001</v>
      </c>
      <c r="Q52">
        <v>0.99363599999999996</v>
      </c>
      <c r="S52">
        <f t="shared" si="9"/>
        <v>0.25117778753365511</v>
      </c>
      <c r="T52">
        <f t="shared" si="10"/>
        <v>0.15767495988496358</v>
      </c>
    </row>
    <row r="55" spans="2:20" x14ac:dyDescent="0.25">
      <c r="B55" t="s">
        <v>20</v>
      </c>
    </row>
    <row r="57" spans="2:20" x14ac:dyDescent="0.25">
      <c r="C57" t="s">
        <v>22</v>
      </c>
      <c r="G57" s="10" t="s">
        <v>19</v>
      </c>
      <c r="H57" s="10"/>
      <c r="K57" t="s">
        <v>23</v>
      </c>
      <c r="L57" t="s">
        <v>24</v>
      </c>
      <c r="M57" t="s">
        <v>25</v>
      </c>
    </row>
    <row r="58" spans="2:20" x14ac:dyDescent="0.25">
      <c r="C58">
        <v>1</v>
      </c>
      <c r="D58">
        <v>0</v>
      </c>
      <c r="E58">
        <v>0</v>
      </c>
      <c r="G58">
        <v>0.24498129543762173</v>
      </c>
      <c r="H58">
        <v>0.18359129028842813</v>
      </c>
      <c r="K58">
        <f>C58*G58</f>
        <v>0.24498129543762173</v>
      </c>
      <c r="L58">
        <f>D58*G58</f>
        <v>0</v>
      </c>
      <c r="M58">
        <f>E58*G58</f>
        <v>0</v>
      </c>
    </row>
    <row r="59" spans="2:20" x14ac:dyDescent="0.25">
      <c r="C59">
        <v>1</v>
      </c>
      <c r="D59">
        <v>0</v>
      </c>
      <c r="E59">
        <v>1</v>
      </c>
      <c r="G59">
        <v>5.9850712982231651E-2</v>
      </c>
      <c r="H59">
        <v>3.4467060926521124E-2</v>
      </c>
      <c r="K59">
        <f t="shared" ref="K59:K61" si="11">C59*G59</f>
        <v>5.9850712982231651E-2</v>
      </c>
      <c r="L59">
        <f t="shared" ref="L59:L61" si="12">D59*G59</f>
        <v>0</v>
      </c>
      <c r="M59">
        <f t="shared" ref="M59:M61" si="13">E59*G59</f>
        <v>5.9850712982231651E-2</v>
      </c>
    </row>
    <row r="60" spans="2:20" x14ac:dyDescent="0.25">
      <c r="C60">
        <v>1</v>
      </c>
      <c r="D60">
        <v>1</v>
      </c>
      <c r="E60">
        <v>0</v>
      </c>
      <c r="G60">
        <v>5.0549453416144051E-2</v>
      </c>
      <c r="H60">
        <v>4.0570233665585251E-2</v>
      </c>
      <c r="K60">
        <f t="shared" si="11"/>
        <v>5.0549453416144051E-2</v>
      </c>
      <c r="L60">
        <f t="shared" si="12"/>
        <v>5.0549453416144051E-2</v>
      </c>
      <c r="M60">
        <f t="shared" si="13"/>
        <v>0</v>
      </c>
    </row>
    <row r="61" spans="2:20" x14ac:dyDescent="0.25">
      <c r="C61">
        <v>1</v>
      </c>
      <c r="D61">
        <v>1</v>
      </c>
      <c r="E61">
        <v>1</v>
      </c>
      <c r="G61">
        <v>0.25117778753365511</v>
      </c>
      <c r="H61">
        <v>0.15767495988496358</v>
      </c>
      <c r="K61">
        <f t="shared" si="11"/>
        <v>0.25117778753365511</v>
      </c>
      <c r="L61">
        <f t="shared" si="12"/>
        <v>0.25117778753365511</v>
      </c>
      <c r="M61">
        <f t="shared" si="13"/>
        <v>0.25117778753365511</v>
      </c>
    </row>
    <row r="63" spans="2:20" x14ac:dyDescent="0.25">
      <c r="J63" t="s">
        <v>14</v>
      </c>
      <c r="K63">
        <f>AVERAGE(K58:K61)</f>
        <v>0.15163981234241314</v>
      </c>
      <c r="L63">
        <f t="shared" ref="L63:M63" si="14">AVERAGE(L58:L61)</f>
        <v>7.5431810237449784E-2</v>
      </c>
      <c r="M63">
        <f t="shared" si="14"/>
        <v>7.7757125128971691E-2</v>
      </c>
    </row>
    <row r="65" spans="2:14" x14ac:dyDescent="0.25">
      <c r="B65" s="8" t="s">
        <v>15</v>
      </c>
      <c r="C65" s="8">
        <f>0.1-0.1*K63</f>
        <v>8.4836018765758692E-2</v>
      </c>
      <c r="D65" s="8">
        <f>0.6-0.1*L63</f>
        <v>0.59245681897625502</v>
      </c>
      <c r="E65" s="8">
        <f>0.3-0.1*M63</f>
        <v>0.29222428748710283</v>
      </c>
      <c r="F65" t="s">
        <v>30</v>
      </c>
      <c r="N65" t="s">
        <v>37</v>
      </c>
    </row>
    <row r="66" spans="2:14" x14ac:dyDescent="0.25">
      <c r="N66" t="s">
        <v>38</v>
      </c>
    </row>
    <row r="68" spans="2:14" x14ac:dyDescent="0.25">
      <c r="B68" t="s">
        <v>29</v>
      </c>
    </row>
    <row r="70" spans="2:14" x14ac:dyDescent="0.25">
      <c r="C70" t="s">
        <v>22</v>
      </c>
      <c r="G70" s="10" t="s">
        <v>19</v>
      </c>
      <c r="H70" s="10"/>
      <c r="K70" t="s">
        <v>23</v>
      </c>
      <c r="L70" t="s">
        <v>24</v>
      </c>
      <c r="M70" t="s">
        <v>25</v>
      </c>
    </row>
    <row r="71" spans="2:14" x14ac:dyDescent="0.25">
      <c r="C71">
        <v>1</v>
      </c>
      <c r="D71">
        <v>0</v>
      </c>
      <c r="E71">
        <v>0</v>
      </c>
      <c r="G71">
        <v>0.24498129543762173</v>
      </c>
      <c r="H71">
        <v>0.18359129028842813</v>
      </c>
      <c r="K71">
        <f>C71*H71</f>
        <v>0.18359129028842813</v>
      </c>
      <c r="L71">
        <f>D71*H71</f>
        <v>0</v>
      </c>
      <c r="M71">
        <f>E71*H71</f>
        <v>0</v>
      </c>
    </row>
    <row r="72" spans="2:14" x14ac:dyDescent="0.25">
      <c r="C72">
        <v>1</v>
      </c>
      <c r="D72">
        <v>0</v>
      </c>
      <c r="E72">
        <v>1</v>
      </c>
      <c r="G72">
        <v>5.9850712982231651E-2</v>
      </c>
      <c r="H72">
        <v>3.4467060926521124E-2</v>
      </c>
      <c r="K72">
        <f t="shared" ref="K72:K74" si="15">C72*H72</f>
        <v>3.4467060926521124E-2</v>
      </c>
      <c r="L72">
        <f t="shared" ref="L72:L74" si="16">D72*H72</f>
        <v>0</v>
      </c>
      <c r="M72">
        <f t="shared" ref="M72:M74" si="17">E72*H72</f>
        <v>3.4467060926521124E-2</v>
      </c>
    </row>
    <row r="73" spans="2:14" x14ac:dyDescent="0.25">
      <c r="C73">
        <v>1</v>
      </c>
      <c r="D73">
        <v>1</v>
      </c>
      <c r="E73">
        <v>0</v>
      </c>
      <c r="G73">
        <v>5.0549453416144051E-2</v>
      </c>
      <c r="H73">
        <v>4.0570233665585251E-2</v>
      </c>
      <c r="K73">
        <f t="shared" si="15"/>
        <v>4.0570233665585251E-2</v>
      </c>
      <c r="L73">
        <f t="shared" si="16"/>
        <v>4.0570233665585251E-2</v>
      </c>
      <c r="M73">
        <f t="shared" si="17"/>
        <v>0</v>
      </c>
    </row>
    <row r="74" spans="2:14" x14ac:dyDescent="0.25">
      <c r="C74">
        <v>1</v>
      </c>
      <c r="D74">
        <v>1</v>
      </c>
      <c r="E74">
        <v>1</v>
      </c>
      <c r="G74">
        <v>0.25117778753365511</v>
      </c>
      <c r="H74">
        <v>0.15767495988496358</v>
      </c>
      <c r="K74">
        <f t="shared" si="15"/>
        <v>0.15767495988496358</v>
      </c>
      <c r="L74">
        <f t="shared" si="16"/>
        <v>0.15767495988496358</v>
      </c>
      <c r="M74">
        <f t="shared" si="17"/>
        <v>0.15767495988496358</v>
      </c>
    </row>
    <row r="76" spans="2:14" x14ac:dyDescent="0.25">
      <c r="J76" t="s">
        <v>14</v>
      </c>
      <c r="K76">
        <f>AVERAGE(K71:K74)</f>
        <v>0.10407588619137453</v>
      </c>
      <c r="L76">
        <f t="shared" ref="L76:M76" si="18">AVERAGE(L71:L74)</f>
        <v>4.9561298387637204E-2</v>
      </c>
      <c r="M76">
        <f t="shared" si="18"/>
        <v>4.8035505202871177E-2</v>
      </c>
    </row>
    <row r="79" spans="2:14" x14ac:dyDescent="0.25">
      <c r="B79" s="8" t="s">
        <v>15</v>
      </c>
      <c r="C79" s="8">
        <f>0.4-0.1*K76</f>
        <v>0.38959241138086259</v>
      </c>
      <c r="D79" s="8">
        <f>0.2-0.1*L76</f>
        <v>0.19504387016123628</v>
      </c>
      <c r="E79" s="8">
        <f>0.8-0.1*M76</f>
        <v>0.79519644947971291</v>
      </c>
      <c r="F79" t="s">
        <v>30</v>
      </c>
    </row>
  </sheetData>
  <mergeCells count="5">
    <mergeCell ref="M48:N48"/>
    <mergeCell ref="G35:I35"/>
    <mergeCell ref="G57:H57"/>
    <mergeCell ref="G70:H70"/>
    <mergeCell ref="S48:T48"/>
  </mergeCells>
  <dataValidations count="2">
    <dataValidation type="whole" allowBlank="1" showInputMessage="1" showErrorMessage="1" sqref="G11 I11 M11 O11 I5 K5" xr:uid="{C7DDD244-E935-40D2-AB16-3D67F3CCE4BF}">
      <formula1>0</formula1>
      <formula2>1</formula2>
    </dataValidation>
    <dataValidation type="whole" operator="equal" allowBlank="1" showInputMessage="1" showErrorMessage="1" sqref="E11 K11 H25" xr:uid="{61EB30D9-1ADA-4A2A-B6E0-85AD671C77BA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30ED2-BEE3-4B8D-B663-A4B200544111}">
  <dimension ref="A5:P12"/>
  <sheetViews>
    <sheetView tabSelected="1" workbookViewId="0">
      <selection activeCell="M5" sqref="M5:P9"/>
    </sheetView>
  </sheetViews>
  <sheetFormatPr defaultRowHeight="15" x14ac:dyDescent="0.25"/>
  <cols>
    <col min="4" max="4" width="9.42578125" bestFit="1" customWidth="1"/>
  </cols>
  <sheetData>
    <row r="5" spans="1:16" x14ac:dyDescent="0.25">
      <c r="F5">
        <f>0.486*0.1+D12</f>
        <v>0.46699334708499995</v>
      </c>
      <c r="J5">
        <f>0.5*SUM(P6:P9)*0.25</f>
        <v>0.46687449999999997</v>
      </c>
      <c r="M5" t="s">
        <v>10</v>
      </c>
      <c r="N5" t="s">
        <v>11</v>
      </c>
      <c r="P5" t="s">
        <v>39</v>
      </c>
    </row>
    <row r="6" spans="1:16" x14ac:dyDescent="0.25">
      <c r="M6">
        <v>1.1399999999999999</v>
      </c>
      <c r="N6" s="3">
        <v>0</v>
      </c>
      <c r="P6">
        <f>(M6-N6)^2</f>
        <v>1.2995999999999999</v>
      </c>
    </row>
    <row r="7" spans="1:16" x14ac:dyDescent="0.25">
      <c r="A7" t="s">
        <v>10</v>
      </c>
      <c r="B7" t="s">
        <v>11</v>
      </c>
      <c r="D7" t="s">
        <v>39</v>
      </c>
      <c r="M7">
        <v>1.3360000000000001</v>
      </c>
      <c r="N7">
        <v>1</v>
      </c>
      <c r="P7">
        <f t="shared" ref="P7:P9" si="0">(M7-N7)^2</f>
        <v>0.11289600000000005</v>
      </c>
    </row>
    <row r="8" spans="1:16" x14ac:dyDescent="0.25">
      <c r="A8" s="3">
        <v>1.0915299999999999</v>
      </c>
      <c r="B8" s="3">
        <v>0</v>
      </c>
      <c r="D8">
        <f>(A8-B8)^2</f>
        <v>1.1914377408999997</v>
      </c>
      <c r="M8">
        <v>1.32</v>
      </c>
      <c r="N8">
        <v>1</v>
      </c>
      <c r="P8">
        <f t="shared" si="0"/>
        <v>0.10240000000000005</v>
      </c>
    </row>
    <row r="9" spans="1:16" x14ac:dyDescent="0.25">
      <c r="A9">
        <v>1.276786</v>
      </c>
      <c r="B9">
        <v>1</v>
      </c>
      <c r="D9">
        <f t="shared" ref="D9:D11" si="1">(A9-B9)^2</f>
        <v>7.6610489795999992E-2</v>
      </c>
      <c r="M9">
        <v>1.49</v>
      </c>
      <c r="N9">
        <v>0</v>
      </c>
      <c r="P9">
        <f t="shared" si="0"/>
        <v>2.2201</v>
      </c>
    </row>
    <row r="10" spans="1:16" x14ac:dyDescent="0.25">
      <c r="A10">
        <v>1.253328</v>
      </c>
      <c r="B10">
        <v>1</v>
      </c>
      <c r="D10">
        <f t="shared" si="1"/>
        <v>6.4175075583999999E-2</v>
      </c>
    </row>
    <row r="11" spans="1:16" x14ac:dyDescent="0.25">
      <c r="A11">
        <v>1.4194800000000001</v>
      </c>
      <c r="B11">
        <v>0</v>
      </c>
      <c r="D11">
        <f t="shared" si="1"/>
        <v>2.0149234704000003</v>
      </c>
    </row>
    <row r="12" spans="1:16" x14ac:dyDescent="0.25">
      <c r="D12">
        <f>0.5*SUM(D8:D11)*0.25</f>
        <v>0.41839334708499998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backpropagation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Linked</dc:creator>
  <cp:lastModifiedBy>Marcelo Rezende</cp:lastModifiedBy>
  <dcterms:created xsi:type="dcterms:W3CDTF">2017-11-03T21:01:44Z</dcterms:created>
  <dcterms:modified xsi:type="dcterms:W3CDTF">2019-12-10T19:31:45Z</dcterms:modified>
</cp:coreProperties>
</file>